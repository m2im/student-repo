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/>
  <mc:AlternateContent xmlns:mc="http://schemas.openxmlformats.org/markup-compatibility/2006">
    <mc:Choice Requires="x15">
      <x15ac:absPath xmlns:x15ac="http://schemas.microsoft.com/office/spreadsheetml/2010/11/ac" url="C:\Users\mlwat\Dropbox (Personal)\Client Folders\Microsoft\Microsoft Office Template Project\02_Template Sent for MS Review\"/>
    </mc:Choice>
  </mc:AlternateContent>
  <xr:revisionPtr revIDLastSave="0" documentId="8_{D09A77B3-4FFB-4EB1-856D-0FB507EE8B38}" xr6:coauthVersionLast="47" xr6:coauthVersionMax="47" xr10:uidLastSave="{00000000-0000-0000-0000-000000000000}"/>
  <bookViews>
    <workbookView xWindow="-108" yWindow="-108" windowWidth="23256" windowHeight="12720" xr2:uid="{422E36C7-441B-4CF8-9E4B-F37F4293F8CF}"/>
  </bookViews>
  <sheets>
    <sheet name="Sheet1" sheetId="7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7" l="1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</calcChain>
</file>

<file path=xl/sharedStrings.xml><?xml version="1.0" encoding="utf-8"?>
<sst xmlns="http://schemas.openxmlformats.org/spreadsheetml/2006/main" count="254" uniqueCount="127">
  <si>
    <t>OBJECTID</t>
  </si>
  <si>
    <t>TPStructure</t>
  </si>
  <si>
    <t>TPCondition</t>
  </si>
  <si>
    <t>StumpDiameterIN</t>
  </si>
  <si>
    <t>PlantingSpaceGlobalID</t>
  </si>
  <si>
    <t>Geometry</t>
  </si>
  <si>
    <t>GenusSpecies</t>
  </si>
  <si>
    <t>CreatedDate</t>
  </si>
  <si>
    <t>Retired</t>
  </si>
  <si>
    <t>Unidentified</t>
  </si>
  <si>
    <t>B9DDFFE7-7387-4923-91EA-6E9212AA324F</t>
  </si>
  <si>
    <t>POINT(-73.72963593901264 40.69403944537182)</t>
  </si>
  <si>
    <t>Full</t>
  </si>
  <si>
    <t>Fair</t>
  </si>
  <si>
    <t>E3399A55-31E8-46AE-BE6C-9D75783F9866</t>
  </si>
  <si>
    <t>POINT(-74.18076305699323 40.5225456344831)</t>
  </si>
  <si>
    <t>Fraxinus - Ash</t>
  </si>
  <si>
    <t>Good</t>
  </si>
  <si>
    <t>CCD7CEB4-D7FC-427F-982C-55355AB0989D</t>
  </si>
  <si>
    <t>POINT(-73.93851920790104 40.60738960999758)</t>
  </si>
  <si>
    <t>Acer - maple</t>
  </si>
  <si>
    <t>E49027D2-6D87-444D-8579-D66DEDE8BB6C</t>
  </si>
  <si>
    <t>POINT(-73.96103852892533 40.63496987804116)</t>
  </si>
  <si>
    <t>Crataegus - Hawthorn</t>
  </si>
  <si>
    <t>C4552286-FC00-4AF5-A9BA-C02F262FD87D</t>
  </si>
  <si>
    <t>POINT(-74.24532356468706 40.514879766920366)</t>
  </si>
  <si>
    <t>615A97D3-8AB4-43A3-86C6-31D867B8C79A</t>
  </si>
  <si>
    <t>POINT(-73.94150305346454 40.71927480717111)</t>
  </si>
  <si>
    <t>Quercus palustris - pin oak</t>
  </si>
  <si>
    <t>Dead</t>
  </si>
  <si>
    <t>03EC491A-709D-4630-915D-1AE068EB1EE5</t>
  </si>
  <si>
    <t>POINT(-73.82814457504234 40.6521529519179)</t>
  </si>
  <si>
    <t>F720BA7C-A433-462E-A0F1-0424DE07752C</t>
  </si>
  <si>
    <t>POINT(-73.90734474859 40.84659428512653)</t>
  </si>
  <si>
    <t>E268AA61-2932-4258-A684-6DFCDDCF6DF9</t>
  </si>
  <si>
    <t>POINT(-74.21805270746037 40.53601797873133)</t>
  </si>
  <si>
    <t xml:space="preserve">
</t>
  </si>
  <si>
    <t>21EA82C1-8D04-4AF6-A371-5FF931F87631</t>
  </si>
  <si>
    <t>POINT(-73.79351908712194 40.682346893994605)</t>
  </si>
  <si>
    <t>3F879220-C66C-4ABC-8B45-202BCC21564D</t>
  </si>
  <si>
    <t>POINT(-73.92851704459338 40.819869809784464)</t>
  </si>
  <si>
    <t>9E8BD35C-0B9E-4F36-98F3-9E0239F03896</t>
  </si>
  <si>
    <t>POINT(-73.91464019966666 40.84779853522256)</t>
  </si>
  <si>
    <t>Morus - mulberry</t>
  </si>
  <si>
    <t>D15BD3E0-C458-4862-892E-D65EAA6AA7B6</t>
  </si>
  <si>
    <t>POINT(-73.86867985395925 40.68979647343952)</t>
  </si>
  <si>
    <t>7319A707-758F-4AB6-8A4B-6D806DF9B4F7</t>
  </si>
  <si>
    <t>POINT(-73.8719493137495 40.682691870760266)</t>
  </si>
  <si>
    <t>87E67DC4-9A80-424E-B960-036A04FD7262</t>
  </si>
  <si>
    <t>POINT(-73.88021328916254 40.68579304693683)</t>
  </si>
  <si>
    <t>3F080192-FDAF-4541-BBEF-07193DF98FF1</t>
  </si>
  <si>
    <t>POINT(-73.90398491054624 40.66002890623264)</t>
  </si>
  <si>
    <t>Stump</t>
  </si>
  <si>
    <t>9C999AE6-B680-4D27-8249-A04495FE257A</t>
  </si>
  <si>
    <t>POINT(-73.74292739413505 40.600756470381796)</t>
  </si>
  <si>
    <t>F6379E14-40F7-4CA0-86A5-0D8C1100AAE5</t>
  </si>
  <si>
    <t>POINT(-73.90777320776633 40.8261219212678)</t>
  </si>
  <si>
    <t>65938EB7-0F43-468E-822F-25E91F050D37</t>
  </si>
  <si>
    <t>POINT(-74.09150522200017 40.599891449594324)</t>
  </si>
  <si>
    <t>Malus - apple</t>
  </si>
  <si>
    <t>8BEE0470-F21D-4905-AA19-CFBEEA911CB8</t>
  </si>
  <si>
    <t>POINT(-74.17353340142542 40.53992128112399)</t>
  </si>
  <si>
    <t>Poor</t>
  </si>
  <si>
    <t>CA954CB4-7D58-4795-A9E0-9636E05474A7</t>
  </si>
  <si>
    <t>POINT(-73.83007477615352 40.89213956654621)</t>
  </si>
  <si>
    <t>0576059C-0C02-4E7F-BDE5-ABFE19F47DAB</t>
  </si>
  <si>
    <t>POINT(-73.84539477062496 40.90693388286452)</t>
  </si>
  <si>
    <t>4B1F530F-A0CB-46D3-B665-792FF1DEEE33</t>
  </si>
  <si>
    <t>POINT(-74.14128343791465 40.56861620634577)</t>
  </si>
  <si>
    <t>2958B89B-F69E-4D58-9C28-68B514D236B4</t>
  </si>
  <si>
    <t>POINT(-74.21296539923182 40.539351516493106)</t>
  </si>
  <si>
    <t>Pinus - pine</t>
  </si>
  <si>
    <t>DED085A5-D8FF-4843-B365-C7722CF215D4</t>
  </si>
  <si>
    <t>POINT(-73.91080405235334 40.779808824260414)</t>
  </si>
  <si>
    <t>9EE02D95-1136-4B7D-A2B3-5D83C2143B4D</t>
  </si>
  <si>
    <t>POINT(-73.83989006606295 40.82570852100053)</t>
  </si>
  <si>
    <t>289D32E4-73AC-4D88-8058-A0F72CDEC727</t>
  </si>
  <si>
    <t>POINT(-73.93780247963355 40.7257699599003)</t>
  </si>
  <si>
    <t>D2828588-3594-4617-A2C9-F84814A8DF85</t>
  </si>
  <si>
    <t>POINT(-73.89173868721015 40.74923841167447)</t>
  </si>
  <si>
    <t>4762B87E-DED6-4CD1-851E-CD0D95D7FDBF</t>
  </si>
  <si>
    <t>POINT(-73.74843056925558 40.67281935627563)</t>
  </si>
  <si>
    <t>4757EDE1-F26D-4C3A-AAB0-E14874C28F89</t>
  </si>
  <si>
    <t>POINT(-73.73531698982218 40.68676519272813)</t>
  </si>
  <si>
    <t>47D6B7AD-6380-47C1-930F-EB7095B8746F</t>
  </si>
  <si>
    <t>POINT(-73.7379805887052 40.68233684813238)</t>
  </si>
  <si>
    <t>DA72ADE8-FCA9-46E5-BF4F-2A6366772D91</t>
  </si>
  <si>
    <t>POINT(-73.73873009334801 40.69382170694844)</t>
  </si>
  <si>
    <t>FE9F82D6-6573-43EF-B11E-6B723C907262</t>
  </si>
  <si>
    <t>POINT(-73.73795769802545 40.67868507587157)</t>
  </si>
  <si>
    <t>3BD308E1-C6EB-4467-835F-8D3251603120</t>
  </si>
  <si>
    <t>POINT(-73.72601939381498 40.67108657079312)</t>
  </si>
  <si>
    <t>Fraxinus pennsylvanica - Green ash</t>
  </si>
  <si>
    <t>F06DBB01-70CC-40D1-BC9E-3EC121DEC88B</t>
  </si>
  <si>
    <t>POINT(-73.70333754682378 40.753532706906235)</t>
  </si>
  <si>
    <t>45809015-28B5-464D-A0B1-EA9BD663AF3E</t>
  </si>
  <si>
    <t>POINT(-73.70510323255766 40.73149524816458)</t>
  </si>
  <si>
    <t>Tilia cordata - littleleaf linden</t>
  </si>
  <si>
    <t>B59E4513-ED88-49C5-849C-7B4E1DC448E8</t>
  </si>
  <si>
    <t>POINT(-73.69954423305309 40.73803613234317)</t>
  </si>
  <si>
    <t>AEEF5E91-FF80-4343-8664-54BA80708BFC</t>
  </si>
  <si>
    <t>POINT(-73.7061679005954 40.74730513120754)</t>
  </si>
  <si>
    <t>24B9F929-7A94-4D25-95DC-BBAF7B79A2FC</t>
  </si>
  <si>
    <t>POINT(-73.81802983342679 40.66610469428889)</t>
  </si>
  <si>
    <t>7A0C83D4-4600-47BC-80AE-ACD91751F668</t>
  </si>
  <si>
    <t>POINT(-73.70568552246978 40.73045739852567)</t>
  </si>
  <si>
    <t>Acer saccharinum - silver maple</t>
  </si>
  <si>
    <t>D46FF02E-EC56-4457-8846-12576AE95FD6</t>
  </si>
  <si>
    <t>POINT(-73.6995986315712 40.738106687857496)</t>
  </si>
  <si>
    <t>4CDAE268-26A3-4A8C-8C29-2AE886180CD6</t>
  </si>
  <si>
    <t>POINT(-73.73766290227954 40.77486784408345)</t>
  </si>
  <si>
    <t>Pyrus calleryana - Callery pear</t>
  </si>
  <si>
    <t>276770D5-66E2-44FE-814A-1EB9DDEEF855</t>
  </si>
  <si>
    <t>POINT(-73.72821578799147 40.769691394945255)</t>
  </si>
  <si>
    <t>03D2FDBF-662D-4378-A8E0-C319DC9DD956</t>
  </si>
  <si>
    <t>POINT(-73.72621021095729 40.76807966663524)</t>
  </si>
  <si>
    <t>Liquidambar styraciflua - sweetgum</t>
  </si>
  <si>
    <t>6BE3B5B2-739E-4D26-8764-61B9ED6C7ADC</t>
  </si>
  <si>
    <t>POINT(-73.81785989272605 40.667949125090814)</t>
  </si>
  <si>
    <t>BB7E21A9-28EB-48E9-9934-F63A116DC6A3</t>
  </si>
  <si>
    <t>POINT(-73.81938801620366 40.78577951625042)</t>
  </si>
  <si>
    <t>C4D04BEE-45FC-40E8-90C7-C13013C9CFB8</t>
  </si>
  <si>
    <t>POINT(-73.93482208335762 40.624223069139056)</t>
  </si>
  <si>
    <t>F2BB9446-9F6C-47CA-B11A-306E2AF68CF3</t>
  </si>
  <si>
    <t>POINT(-73.87931122491221 40.64427882803598)</t>
  </si>
  <si>
    <t>2ABB06AA-7D2B-4DBF-ACC5-6645989B7D74</t>
  </si>
  <si>
    <t>POINT(-73.88647821122986 40.72297423501096)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</si>
</sst>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entury Gothic"/>
      <family val="2"/>
      <scheme val="minor"/>
    </font>
    <font>
      <b/>
      <sz val="15"/>
      <color theme="3"/>
      <name val="Century Gothic"/>
      <family val="2"/>
      <scheme val="minor"/>
    </font>
    <font>
      <b/>
      <sz val="8"/>
      <color rgb="FF000000"/>
      <name val="Helvetica Neue"/>
      <charset val="1"/>
    </font>
    <font>
      <sz val="8"/>
      <color rgb="FF000000"/>
      <name val="Helvetica Neue"/>
      <charset val="1"/>
    </font>
    <font>
      <sz val="9"/>
      <color theme="1"/>
      <name val="Helvetica"/>
      <charset val="1"/>
    </font>
  </fonts>
  <fills count="4">
    <fill>
      <patternFill patternType="none"/>
    </fill>
    <fill>
      <patternFill patternType="gray125"/>
    </fill>
    <fill>
      <patternFill patternType="solid">
        <fgColor rgb="FFB0B3B2"/>
        <bgColor indexed="64"/>
      </patternFill>
    </fill>
    <fill>
      <patternFill patternType="solid">
        <fgColor rgb="FFD4D4D4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11">
    <xf numFmtId="0" fontId="0" fillId="0" borderId="0" xfId="0"/>
    <xf numFmtId="0" fontId="3" fillId="0" borderId="2" xfId="0" applyFont="1" applyBorder="1"/>
    <xf numFmtId="0" fontId="4" fillId="0" borderId="2" xfId="0" applyFont="1" applyBorder="1" applyAlignment="1">
      <alignment wrapText="1"/>
    </xf>
    <xf numFmtId="0" fontId="2" fillId="3" borderId="3" xfId="0" applyFont="1" applyFill="1" applyBorder="1"/>
    <xf numFmtId="47" fontId="3" fillId="0" borderId="4" xfId="0" applyNumberFormat="1" applyFont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8" xfId="0" applyFont="1" applyFill="1" applyBorder="1"/>
    <xf numFmtId="0" fontId="3" fillId="0" borderId="9" xfId="0" applyFont="1" applyBorder="1"/>
    <xf numFmtId="47" fontId="3" fillId="0" borderId="10" xfId="0" applyNumberFormat="1" applyFont="1" applyBorder="1"/>
  </cellXfs>
  <cellStyles count="2">
    <cellStyle name="Heading 1 2" xfId="1" xr:uid="{78F2CDC0-5A06-4236-BE4B-C8FFA046B446}"/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numFmt numFmtId="29" formatCode="mm:ss.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fill>
        <patternFill patternType="solid">
          <fgColor indexed="64"/>
          <bgColor rgb="FFD4D4D4"/>
        </patternFill>
      </fill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Helvetica Neue"/>
        <charset val="1"/>
        <scheme val="none"/>
      </font>
      <fill>
        <patternFill patternType="solid">
          <fgColor indexed="64"/>
          <bgColor rgb="FFB0B3B2"/>
        </patternFill>
      </fill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/>
        <i val="0"/>
        <color theme="1"/>
      </font>
      <border>
        <top style="thick">
          <color auto="1"/>
        </top>
        <bottom style="thick">
          <color auto="1"/>
        </bottom>
      </border>
    </dxf>
    <dxf>
      <font>
        <b/>
        <i val="0"/>
        <color theme="1"/>
      </font>
      <fill>
        <patternFill>
          <bgColor theme="0" tint="-4.9989318521683403E-2"/>
        </patternFill>
      </fill>
      <border diagonalUp="0" diagonalDown="0">
        <left/>
        <right/>
        <top/>
        <bottom/>
        <vertical/>
        <horizontal/>
      </border>
    </dxf>
    <dxf>
      <font>
        <color theme="1"/>
      </font>
      <border>
        <left style="thin">
          <color theme="0" tint="-0.14996795556505021"/>
        </left>
        <right style="thin">
          <color theme="0" tint="-0.14996795556505021"/>
        </right>
        <top style="thin">
          <color theme="0" tint="-0.14993743705557422"/>
        </top>
        <bottom style="thick">
          <color theme="1" tint="0.24994659260841701"/>
        </bottom>
        <vertical style="thin">
          <color theme="0" tint="-0.14996795556505021"/>
        </vertical>
        <horizontal style="thin">
          <color theme="0" tint="-0.14993743705557422"/>
        </horizontal>
      </border>
    </dxf>
  </dxfs>
  <tableStyles count="1" defaultTableStyle="TableStyleMedium2" defaultPivotStyle="PivotStyleLight16">
    <tableStyle name="TableStyleLight6 2" pivot="0" count="3" xr9:uid="{7A2670F4-CCC3-8044-96E0-9D071E21DDAD}">
      <tableStyleElement type="wholeTable" dxfId="15"/>
      <tableStyleElement type="headerRow" dxfId="14"/>
      <tableStyleElement type="totalRow" dxfId="1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005C7B-8132-44B1-8894-F60CC9BAE495}" name="TreeInventoryData" displayName="TreeInventoryData" ref="A1:H50" totalsRowShown="0" headerRowDxfId="12" dataDxfId="11" headerRowBorderDxfId="9" tableBorderDxfId="10" totalsRowBorderDxfId="8">
  <autoFilter ref="A1:H50" xr:uid="{B4005C7B-8132-44B1-8894-F60CC9BAE495}"/>
  <tableColumns count="8">
    <tableColumn id="1" xr3:uid="{C3B477A2-2457-4FF4-973D-F7B68765B8A7}" name="OBJECTID" dataDxfId="7"/>
    <tableColumn id="2" xr3:uid="{8F7F8469-0C44-4303-92CE-C341E71B0C14}" name="TPStructure" dataDxfId="6"/>
    <tableColumn id="3" xr3:uid="{50811134-EC11-46A7-BC2E-A9C72FA143FC}" name="TPCondition" dataDxfId="5"/>
    <tableColumn id="4" xr3:uid="{D857BCA4-1E75-4C72-9DBD-345EFDF83769}" name="StumpDiameterIN" dataDxfId="4"/>
    <tableColumn id="5" xr3:uid="{A0EB295F-F1D7-4C77-9F56-0D7732AE72CE}" name="PlantingSpaceGlobalID" dataDxfId="3"/>
    <tableColumn id="6" xr3:uid="{ACD2E789-8A2B-4C2B-A753-7727C0065529}" name="Geometry" dataDxfId="2"/>
    <tableColumn id="7" xr3:uid="{AFEE9083-DBE7-4933-B643-5B0BF0D3E66F}" name="GenusSpecies" dataDxfId="1"/>
    <tableColumn id="8" xr3:uid="{6DA4313F-A5F8-43B0-93B1-416904185572}" name="Created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Custom 40">
      <a:majorFont>
        <a:latin typeface="Century Gothic"/>
        <a:ea typeface=""/>
        <a:cs typeface=""/>
      </a:majorFont>
      <a:minorFont>
        <a:latin typeface="Century Gothic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C3F3F-BC28-4604-8E9D-E5F12D9EB475}">
  <dimension ref="A1:H50"/>
  <sheetViews>
    <sheetView tabSelected="1" workbookViewId="0">
      <selection activeCell="E2" sqref="E2"/>
    </sheetView>
  </sheetViews>
  <sheetFormatPr defaultRowHeight="16.5"/>
  <cols>
    <col min="1" max="1" width="9.125" bestFit="1" customWidth="1"/>
    <col min="2" max="2" width="10.375" bestFit="1" customWidth="1"/>
    <col min="3" max="3" width="10.75" bestFit="1" customWidth="1"/>
    <col min="4" max="4" width="14.5" bestFit="1" customWidth="1"/>
    <col min="5" max="5" width="28.25" bestFit="1" customWidth="1"/>
    <col min="6" max="6" width="31.5" bestFit="1" customWidth="1"/>
    <col min="7" max="7" width="22.375" bestFit="1" customWidth="1"/>
    <col min="8" max="8" width="10.75" bestFit="1" customWidth="1"/>
  </cols>
  <sheetData>
    <row r="1" spans="1:8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7" t="s">
        <v>7</v>
      </c>
    </row>
    <row r="2" spans="1:8">
      <c r="A2" s="3">
        <v>230120</v>
      </c>
      <c r="B2" s="1" t="s">
        <v>8</v>
      </c>
      <c r="C2" s="1" t="s">
        <v>9</v>
      </c>
      <c r="D2" s="2">
        <v>5</v>
      </c>
      <c r="E2" s="1" t="s">
        <v>10</v>
      </c>
      <c r="F2" s="1" t="s">
        <v>11</v>
      </c>
      <c r="G2" s="1" t="s">
        <v>9</v>
      </c>
      <c r="H2" s="4"/>
    </row>
    <row r="3" spans="1:8">
      <c r="A3" s="3">
        <v>555509</v>
      </c>
      <c r="B3" s="1" t="s">
        <v>12</v>
      </c>
      <c r="C3" s="1" t="s">
        <v>13</v>
      </c>
      <c r="D3" s="2">
        <v>6</v>
      </c>
      <c r="E3" s="1" t="s">
        <v>14</v>
      </c>
      <c r="F3" s="1" t="s">
        <v>15</v>
      </c>
      <c r="G3" s="1" t="s">
        <v>16</v>
      </c>
      <c r="H3" s="4">
        <v>42241.622916666667</v>
      </c>
    </row>
    <row r="4" spans="1:8">
      <c r="A4" s="3">
        <v>746627</v>
      </c>
      <c r="B4" s="1" t="s">
        <v>12</v>
      </c>
      <c r="C4" s="1" t="s">
        <v>17</v>
      </c>
      <c r="D4" s="2">
        <v>1</v>
      </c>
      <c r="E4" s="1" t="s">
        <v>18</v>
      </c>
      <c r="F4" s="1" t="s">
        <v>19</v>
      </c>
      <c r="G4" s="1" t="s">
        <v>20</v>
      </c>
      <c r="H4" s="4">
        <v>42251.620833333334</v>
      </c>
    </row>
    <row r="5" spans="1:8">
      <c r="A5" s="3">
        <v>1058379</v>
      </c>
      <c r="B5" s="1" t="s">
        <v>12</v>
      </c>
      <c r="C5" s="1" t="s">
        <v>17</v>
      </c>
      <c r="D5" s="1">
        <v>1</v>
      </c>
      <c r="E5" s="1" t="s">
        <v>21</v>
      </c>
      <c r="F5" s="1" t="s">
        <v>22</v>
      </c>
      <c r="G5" s="1" t="s">
        <v>23</v>
      </c>
      <c r="H5" s="4">
        <v>42278.587696759256</v>
      </c>
    </row>
    <row r="6" spans="1:8">
      <c r="A6" s="3">
        <v>1394983</v>
      </c>
      <c r="B6" s="1" t="s">
        <v>12</v>
      </c>
      <c r="C6" s="1" t="s">
        <v>17</v>
      </c>
      <c r="D6" s="1">
        <v>1</v>
      </c>
      <c r="E6" s="1" t="s">
        <v>24</v>
      </c>
      <c r="F6" s="1" t="s">
        <v>25</v>
      </c>
      <c r="G6" s="1" t="s">
        <v>20</v>
      </c>
      <c r="H6" s="4">
        <v>42306.527418981481</v>
      </c>
    </row>
    <row r="7" spans="1:8">
      <c r="A7" s="3">
        <v>1390660</v>
      </c>
      <c r="B7" s="1" t="s">
        <v>12</v>
      </c>
      <c r="C7" s="1" t="s">
        <v>17</v>
      </c>
      <c r="D7" s="1"/>
      <c r="E7" s="1" t="s">
        <v>26</v>
      </c>
      <c r="F7" s="1" t="s">
        <v>27</v>
      </c>
      <c r="G7" s="1" t="s">
        <v>28</v>
      </c>
      <c r="H7" s="4">
        <v>42306.516817129632</v>
      </c>
    </row>
    <row r="8" spans="1:8">
      <c r="A8" s="3">
        <v>1411921</v>
      </c>
      <c r="B8" s="1" t="s">
        <v>12</v>
      </c>
      <c r="C8" s="1" t="s">
        <v>29</v>
      </c>
      <c r="D8" s="1"/>
      <c r="E8" s="1" t="s">
        <v>30</v>
      </c>
      <c r="F8" s="1" t="s">
        <v>31</v>
      </c>
      <c r="G8" s="1" t="s">
        <v>9</v>
      </c>
      <c r="H8" s="4">
        <v>42306.568449074075</v>
      </c>
    </row>
    <row r="9" spans="1:8">
      <c r="A9" s="3">
        <v>1453653</v>
      </c>
      <c r="B9" s="1" t="s">
        <v>8</v>
      </c>
      <c r="C9" s="1" t="s">
        <v>29</v>
      </c>
      <c r="D9" s="1"/>
      <c r="E9" s="1" t="s">
        <v>32</v>
      </c>
      <c r="F9" s="1" t="s">
        <v>33</v>
      </c>
      <c r="G9" s="1" t="s">
        <v>9</v>
      </c>
      <c r="H9" s="4">
        <v>42306.668819444443</v>
      </c>
    </row>
    <row r="10" spans="1:8">
      <c r="A10" s="3">
        <v>1959661</v>
      </c>
      <c r="B10" s="1" t="s">
        <v>12</v>
      </c>
      <c r="C10" s="1" t="s">
        <v>17</v>
      </c>
      <c r="D10" s="2">
        <v>10</v>
      </c>
      <c r="E10" s="1" t="s">
        <v>34</v>
      </c>
      <c r="F10" s="1" t="s">
        <v>35</v>
      </c>
      <c r="G10" s="1" t="s">
        <v>20</v>
      </c>
      <c r="H10" s="4">
        <v>42360.749305555553</v>
      </c>
    </row>
    <row r="11" spans="1:8" ht="25.5">
      <c r="A11" s="3">
        <v>1744792</v>
      </c>
      <c r="B11" s="1" t="s">
        <v>12</v>
      </c>
      <c r="C11" s="1" t="s">
        <v>9</v>
      </c>
      <c r="D11" s="2" t="s">
        <v>36</v>
      </c>
      <c r="E11" s="1" t="s">
        <v>37</v>
      </c>
      <c r="F11" s="1" t="s">
        <v>38</v>
      </c>
      <c r="G11" s="1" t="s">
        <v>9</v>
      </c>
      <c r="H11" s="4">
        <v>42338.868055555555</v>
      </c>
    </row>
    <row r="12" spans="1:8">
      <c r="A12" s="3">
        <v>2255195</v>
      </c>
      <c r="B12" s="1" t="s">
        <v>12</v>
      </c>
      <c r="C12" s="1" t="s">
        <v>29</v>
      </c>
      <c r="D12" s="1">
        <v>13</v>
      </c>
      <c r="E12" s="1" t="s">
        <v>39</v>
      </c>
      <c r="F12" s="1" t="s">
        <v>40</v>
      </c>
      <c r="G12" s="1" t="s">
        <v>9</v>
      </c>
      <c r="H12" s="4">
        <v>42374.713368055556</v>
      </c>
    </row>
    <row r="13" spans="1:8">
      <c r="A13" s="3">
        <v>2263267</v>
      </c>
      <c r="B13" s="1" t="s">
        <v>12</v>
      </c>
      <c r="C13" s="1" t="s">
        <v>13</v>
      </c>
      <c r="D13" s="1">
        <v>1</v>
      </c>
      <c r="E13" s="1" t="s">
        <v>41</v>
      </c>
      <c r="F13" s="1" t="s">
        <v>42</v>
      </c>
      <c r="G13" s="1" t="s">
        <v>43</v>
      </c>
      <c r="H13" s="4">
        <v>42374.803773148145</v>
      </c>
    </row>
    <row r="14" spans="1:8">
      <c r="A14" s="3">
        <v>2416097</v>
      </c>
      <c r="B14" s="1" t="s">
        <v>12</v>
      </c>
      <c r="C14" s="1" t="s">
        <v>17</v>
      </c>
      <c r="D14" s="1">
        <v>23</v>
      </c>
      <c r="E14" s="1" t="s">
        <v>44</v>
      </c>
      <c r="F14" s="1" t="s">
        <v>45</v>
      </c>
      <c r="G14" s="1" t="s">
        <v>20</v>
      </c>
      <c r="H14" s="4">
        <v>42374.733229166668</v>
      </c>
    </row>
    <row r="15" spans="1:8">
      <c r="A15" s="3">
        <v>2419844</v>
      </c>
      <c r="B15" s="1" t="s">
        <v>12</v>
      </c>
      <c r="C15" s="1" t="s">
        <v>29</v>
      </c>
      <c r="D15" s="1">
        <f t="shared" ref="D15:D50" ca="1" si="0">RANDBETWEEN(1,24)</f>
        <v>13</v>
      </c>
      <c r="E15" s="1" t="s">
        <v>46</v>
      </c>
      <c r="F15" s="1" t="s">
        <v>47</v>
      </c>
      <c r="G15" s="1" t="s">
        <v>9</v>
      </c>
      <c r="H15" s="4">
        <v>42374.745648148149</v>
      </c>
    </row>
    <row r="16" spans="1:8">
      <c r="A16" s="3">
        <v>2418901</v>
      </c>
      <c r="B16" s="1" t="s">
        <v>12</v>
      </c>
      <c r="C16" s="1" t="s">
        <v>17</v>
      </c>
      <c r="D16" s="1">
        <f t="shared" ca="1" si="0"/>
        <v>5</v>
      </c>
      <c r="E16" s="1" t="s">
        <v>48</v>
      </c>
      <c r="F16" s="1" t="s">
        <v>49</v>
      </c>
      <c r="G16" s="1" t="s">
        <v>20</v>
      </c>
      <c r="H16" s="4">
        <v>42374.7425</v>
      </c>
    </row>
    <row r="17" spans="1:8">
      <c r="A17" s="3">
        <v>2417925</v>
      </c>
      <c r="B17" s="1" t="s">
        <v>12</v>
      </c>
      <c r="C17" s="1" t="s">
        <v>29</v>
      </c>
      <c r="D17" s="1">
        <f t="shared" ca="1" si="0"/>
        <v>15</v>
      </c>
      <c r="E17" s="1" t="s">
        <v>50</v>
      </c>
      <c r="F17" s="1" t="s">
        <v>51</v>
      </c>
      <c r="G17" s="1" t="s">
        <v>9</v>
      </c>
      <c r="H17" s="4">
        <v>42374.739212962966</v>
      </c>
    </row>
    <row r="18" spans="1:8">
      <c r="A18" s="3">
        <v>2508137</v>
      </c>
      <c r="B18" s="1" t="s">
        <v>52</v>
      </c>
      <c r="C18" s="1" t="s">
        <v>9</v>
      </c>
      <c r="D18" s="1">
        <f t="shared" ca="1" si="0"/>
        <v>20</v>
      </c>
      <c r="E18" s="1" t="s">
        <v>53</v>
      </c>
      <c r="F18" s="1" t="s">
        <v>54</v>
      </c>
      <c r="G18" s="1" t="s">
        <v>9</v>
      </c>
      <c r="H18" s="4">
        <v>42374.802997685183</v>
      </c>
    </row>
    <row r="19" spans="1:8">
      <c r="A19" s="3">
        <v>2551937</v>
      </c>
      <c r="B19" s="1" t="s">
        <v>8</v>
      </c>
      <c r="C19" s="1" t="s">
        <v>29</v>
      </c>
      <c r="D19" s="1">
        <f t="shared" ca="1" si="0"/>
        <v>8</v>
      </c>
      <c r="E19" s="1" t="s">
        <v>55</v>
      </c>
      <c r="F19" s="1" t="s">
        <v>56</v>
      </c>
      <c r="G19" s="1" t="s">
        <v>9</v>
      </c>
      <c r="H19" s="4">
        <v>42412.656504629631</v>
      </c>
    </row>
    <row r="20" spans="1:8">
      <c r="A20" s="3">
        <v>2605467</v>
      </c>
      <c r="B20" s="1" t="s">
        <v>12</v>
      </c>
      <c r="C20" s="1" t="s">
        <v>17</v>
      </c>
      <c r="D20" s="1">
        <f t="shared" ca="1" si="0"/>
        <v>18</v>
      </c>
      <c r="E20" s="1" t="s">
        <v>57</v>
      </c>
      <c r="F20" s="1" t="s">
        <v>58</v>
      </c>
      <c r="G20" s="1" t="s">
        <v>59</v>
      </c>
      <c r="H20" s="4">
        <v>42374.758483796293</v>
      </c>
    </row>
    <row r="21" spans="1:8">
      <c r="A21" s="3">
        <v>2639139</v>
      </c>
      <c r="B21" s="1" t="s">
        <v>12</v>
      </c>
      <c r="C21" s="1" t="s">
        <v>17</v>
      </c>
      <c r="D21" s="1">
        <f t="shared" ca="1" si="0"/>
        <v>11</v>
      </c>
      <c r="E21" s="1" t="s">
        <v>60</v>
      </c>
      <c r="F21" s="1" t="s">
        <v>61</v>
      </c>
      <c r="G21" s="1" t="s">
        <v>20</v>
      </c>
      <c r="H21" s="4">
        <v>42412.709918981483</v>
      </c>
    </row>
    <row r="22" spans="1:8">
      <c r="A22" s="3">
        <v>2909204</v>
      </c>
      <c r="B22" s="1" t="s">
        <v>12</v>
      </c>
      <c r="C22" s="1" t="s">
        <v>62</v>
      </c>
      <c r="D22" s="1">
        <f t="shared" ca="1" si="0"/>
        <v>19</v>
      </c>
      <c r="E22" s="1" t="s">
        <v>63</v>
      </c>
      <c r="F22" s="1" t="s">
        <v>64</v>
      </c>
      <c r="G22" s="1" t="s">
        <v>20</v>
      </c>
      <c r="H22" s="4">
        <v>42412.68577546296</v>
      </c>
    </row>
    <row r="23" spans="1:8">
      <c r="A23" s="3">
        <v>2909180</v>
      </c>
      <c r="B23" s="1" t="s">
        <v>52</v>
      </c>
      <c r="C23" s="1" t="s">
        <v>9</v>
      </c>
      <c r="D23" s="1">
        <f t="shared" ca="1" si="0"/>
        <v>16</v>
      </c>
      <c r="E23" s="1" t="s">
        <v>65</v>
      </c>
      <c r="F23" s="1" t="s">
        <v>66</v>
      </c>
      <c r="G23" s="1" t="s">
        <v>9</v>
      </c>
      <c r="H23" s="4">
        <v>42374.836643518516</v>
      </c>
    </row>
    <row r="24" spans="1:8">
      <c r="A24" s="3">
        <v>2911733</v>
      </c>
      <c r="B24" s="1" t="s">
        <v>12</v>
      </c>
      <c r="C24" s="1" t="s">
        <v>17</v>
      </c>
      <c r="D24" s="1">
        <f t="shared" ca="1" si="0"/>
        <v>18</v>
      </c>
      <c r="E24" s="1" t="s">
        <v>67</v>
      </c>
      <c r="F24" s="1" t="s">
        <v>68</v>
      </c>
      <c r="G24" s="1" t="s">
        <v>43</v>
      </c>
      <c r="H24" s="4">
        <v>42444.653993055559</v>
      </c>
    </row>
    <row r="25" spans="1:8">
      <c r="A25" s="3">
        <v>2916983</v>
      </c>
      <c r="B25" s="1" t="s">
        <v>12</v>
      </c>
      <c r="C25" s="1" t="s">
        <v>17</v>
      </c>
      <c r="D25" s="1">
        <f t="shared" ca="1" si="0"/>
        <v>8</v>
      </c>
      <c r="E25" s="1" t="s">
        <v>69</v>
      </c>
      <c r="F25" s="1" t="s">
        <v>70</v>
      </c>
      <c r="G25" s="1" t="s">
        <v>71</v>
      </c>
      <c r="H25" s="4">
        <v>42444.666585648149</v>
      </c>
    </row>
    <row r="26" spans="1:8">
      <c r="A26" s="3">
        <v>3009624</v>
      </c>
      <c r="B26" s="1" t="s">
        <v>12</v>
      </c>
      <c r="C26" s="1" t="s">
        <v>9</v>
      </c>
      <c r="D26" s="1">
        <f t="shared" ca="1" si="0"/>
        <v>4</v>
      </c>
      <c r="E26" s="1" t="s">
        <v>72</v>
      </c>
      <c r="F26" s="1" t="s">
        <v>73</v>
      </c>
      <c r="G26" s="1" t="s">
        <v>9</v>
      </c>
      <c r="H26" s="4">
        <v>42463.736805555556</v>
      </c>
    </row>
    <row r="27" spans="1:8">
      <c r="A27" s="3">
        <v>3352205</v>
      </c>
      <c r="B27" s="1" t="s">
        <v>12</v>
      </c>
      <c r="C27" s="1" t="s">
        <v>17</v>
      </c>
      <c r="D27" s="1">
        <f t="shared" ca="1" si="0"/>
        <v>5</v>
      </c>
      <c r="E27" s="1" t="s">
        <v>74</v>
      </c>
      <c r="F27" s="1" t="s">
        <v>75</v>
      </c>
      <c r="G27" s="1" t="s">
        <v>23</v>
      </c>
      <c r="H27" s="4">
        <v>42501.743379629632</v>
      </c>
    </row>
    <row r="28" spans="1:8">
      <c r="A28" s="3">
        <v>3359946</v>
      </c>
      <c r="B28" s="1" t="s">
        <v>12</v>
      </c>
      <c r="C28" s="1" t="s">
        <v>17</v>
      </c>
      <c r="D28" s="1">
        <f t="shared" ca="1" si="0"/>
        <v>12</v>
      </c>
      <c r="E28" s="1" t="s">
        <v>76</v>
      </c>
      <c r="F28" s="1" t="s">
        <v>77</v>
      </c>
      <c r="G28" s="1" t="s">
        <v>23</v>
      </c>
      <c r="H28" s="4">
        <v>42501.87226851852</v>
      </c>
    </row>
    <row r="29" spans="1:8">
      <c r="A29" s="3">
        <v>3648707</v>
      </c>
      <c r="B29" s="1" t="s">
        <v>12</v>
      </c>
      <c r="C29" s="1" t="s">
        <v>17</v>
      </c>
      <c r="D29" s="1">
        <f t="shared" ca="1" si="0"/>
        <v>18</v>
      </c>
      <c r="E29" s="1" t="s">
        <v>78</v>
      </c>
      <c r="F29" s="1" t="s">
        <v>79</v>
      </c>
      <c r="G29" s="1" t="s">
        <v>20</v>
      </c>
      <c r="H29" s="4">
        <v>42501.804363425923</v>
      </c>
    </row>
    <row r="30" spans="1:8">
      <c r="A30" s="3">
        <v>3731604</v>
      </c>
      <c r="B30" s="1" t="s">
        <v>12</v>
      </c>
      <c r="C30" s="1" t="s">
        <v>17</v>
      </c>
      <c r="D30" s="1">
        <f t="shared" ca="1" si="0"/>
        <v>24</v>
      </c>
      <c r="E30" s="1" t="s">
        <v>80</v>
      </c>
      <c r="F30" s="1" t="s">
        <v>81</v>
      </c>
      <c r="G30" s="1" t="s">
        <v>71</v>
      </c>
      <c r="H30" s="4">
        <v>42542.632106481484</v>
      </c>
    </row>
    <row r="31" spans="1:8">
      <c r="A31" s="3">
        <v>3727280</v>
      </c>
      <c r="B31" s="1" t="s">
        <v>12</v>
      </c>
      <c r="C31" s="1" t="s">
        <v>17</v>
      </c>
      <c r="D31" s="1">
        <f t="shared" ca="1" si="0"/>
        <v>12</v>
      </c>
      <c r="E31" s="1" t="s">
        <v>82</v>
      </c>
      <c r="F31" s="1" t="s">
        <v>83</v>
      </c>
      <c r="G31" s="1" t="s">
        <v>59</v>
      </c>
      <c r="H31" s="4">
        <v>42542.608784722222</v>
      </c>
    </row>
    <row r="32" spans="1:8">
      <c r="A32" s="3">
        <v>3741425</v>
      </c>
      <c r="B32" s="1" t="s">
        <v>12</v>
      </c>
      <c r="C32" s="1" t="s">
        <v>17</v>
      </c>
      <c r="D32" s="1">
        <f t="shared" ca="1" si="0"/>
        <v>9</v>
      </c>
      <c r="E32" s="1" t="s">
        <v>84</v>
      </c>
      <c r="F32" s="1" t="s">
        <v>85</v>
      </c>
      <c r="G32" s="1" t="s">
        <v>20</v>
      </c>
      <c r="H32" s="4">
        <v>42542.648865740739</v>
      </c>
    </row>
    <row r="33" spans="1:8">
      <c r="A33" s="3">
        <v>3749038</v>
      </c>
      <c r="B33" s="1" t="s">
        <v>12</v>
      </c>
      <c r="C33" s="1" t="s">
        <v>17</v>
      </c>
      <c r="D33" s="1">
        <f t="shared" ca="1" si="0"/>
        <v>3</v>
      </c>
      <c r="E33" s="1" t="s">
        <v>86</v>
      </c>
      <c r="F33" s="1" t="s">
        <v>87</v>
      </c>
      <c r="G33" s="1" t="s">
        <v>59</v>
      </c>
      <c r="H33" s="4">
        <v>42542.615717592591</v>
      </c>
    </row>
    <row r="34" spans="1:8">
      <c r="A34" s="3">
        <v>3761737</v>
      </c>
      <c r="B34" s="1" t="s">
        <v>12</v>
      </c>
      <c r="C34" s="1" t="s">
        <v>17</v>
      </c>
      <c r="D34" s="1">
        <f t="shared" ca="1" si="0"/>
        <v>12</v>
      </c>
      <c r="E34" s="1" t="s">
        <v>88</v>
      </c>
      <c r="F34" s="1" t="s">
        <v>89</v>
      </c>
      <c r="G34" s="1" t="s">
        <v>59</v>
      </c>
      <c r="H34" s="4">
        <v>42542.618946759256</v>
      </c>
    </row>
    <row r="35" spans="1:8">
      <c r="A35" s="3">
        <v>3767759</v>
      </c>
      <c r="B35" s="1" t="s">
        <v>12</v>
      </c>
      <c r="C35" s="1" t="s">
        <v>13</v>
      </c>
      <c r="D35" s="1">
        <f t="shared" ca="1" si="0"/>
        <v>3</v>
      </c>
      <c r="E35" s="1" t="s">
        <v>90</v>
      </c>
      <c r="F35" s="1" t="s">
        <v>91</v>
      </c>
      <c r="G35" s="1" t="s">
        <v>92</v>
      </c>
      <c r="H35" s="4">
        <v>42542.66542824074</v>
      </c>
    </row>
    <row r="36" spans="1:8">
      <c r="A36" s="3">
        <v>3998871</v>
      </c>
      <c r="B36" s="1" t="s">
        <v>12</v>
      </c>
      <c r="C36" s="1" t="s">
        <v>17</v>
      </c>
      <c r="D36" s="1">
        <f t="shared" ca="1" si="0"/>
        <v>4</v>
      </c>
      <c r="E36" s="1" t="s">
        <v>93</v>
      </c>
      <c r="F36" s="1" t="s">
        <v>94</v>
      </c>
      <c r="G36" s="1" t="s">
        <v>23</v>
      </c>
      <c r="H36" s="4">
        <v>42551.408032407409</v>
      </c>
    </row>
    <row r="37" spans="1:8">
      <c r="A37" s="3">
        <v>4005560</v>
      </c>
      <c r="B37" s="1" t="s">
        <v>12</v>
      </c>
      <c r="C37" s="1" t="s">
        <v>17</v>
      </c>
      <c r="D37" s="1">
        <f t="shared" ca="1" si="0"/>
        <v>3</v>
      </c>
      <c r="E37" s="1" t="s">
        <v>95</v>
      </c>
      <c r="F37" s="1" t="s">
        <v>96</v>
      </c>
      <c r="G37" s="1" t="s">
        <v>97</v>
      </c>
      <c r="H37" s="4">
        <v>42551.419189814813</v>
      </c>
    </row>
    <row r="38" spans="1:8">
      <c r="A38" s="3">
        <v>4002704</v>
      </c>
      <c r="B38" s="1" t="s">
        <v>12</v>
      </c>
      <c r="C38" s="1" t="s">
        <v>17</v>
      </c>
      <c r="D38" s="1">
        <f t="shared" ca="1" si="0"/>
        <v>15</v>
      </c>
      <c r="E38" s="1" t="s">
        <v>98</v>
      </c>
      <c r="F38" s="1" t="s">
        <v>99</v>
      </c>
      <c r="G38" s="1" t="s">
        <v>16</v>
      </c>
      <c r="H38" s="4">
        <v>42578.540219907409</v>
      </c>
    </row>
    <row r="39" spans="1:8">
      <c r="A39" s="3">
        <v>4000132</v>
      </c>
      <c r="B39" s="1" t="s">
        <v>12</v>
      </c>
      <c r="C39" s="1" t="s">
        <v>17</v>
      </c>
      <c r="D39" s="1">
        <f t="shared" ca="1" si="0"/>
        <v>14</v>
      </c>
      <c r="E39" s="1" t="s">
        <v>100</v>
      </c>
      <c r="F39" s="1" t="s">
        <v>101</v>
      </c>
      <c r="G39" s="1" t="s">
        <v>59</v>
      </c>
      <c r="H39" s="4">
        <v>42551.427673611113</v>
      </c>
    </row>
    <row r="40" spans="1:8">
      <c r="A40" s="3">
        <v>4018019</v>
      </c>
      <c r="B40" s="1" t="s">
        <v>12</v>
      </c>
      <c r="C40" s="1" t="s">
        <v>17</v>
      </c>
      <c r="D40" s="1">
        <f t="shared" ca="1" si="0"/>
        <v>14</v>
      </c>
      <c r="E40" s="1" t="s">
        <v>102</v>
      </c>
      <c r="F40" s="1" t="s">
        <v>103</v>
      </c>
      <c r="G40" s="1" t="s">
        <v>20</v>
      </c>
      <c r="H40" s="4">
        <v>42578.545856481483</v>
      </c>
    </row>
    <row r="41" spans="1:8">
      <c r="A41" s="3">
        <v>4020848</v>
      </c>
      <c r="B41" s="1" t="s">
        <v>12</v>
      </c>
      <c r="C41" s="1" t="s">
        <v>17</v>
      </c>
      <c r="D41" s="1">
        <f t="shared" ca="1" si="0"/>
        <v>1</v>
      </c>
      <c r="E41" s="1" t="s">
        <v>104</v>
      </c>
      <c r="F41" s="1" t="s">
        <v>105</v>
      </c>
      <c r="G41" s="1" t="s">
        <v>106</v>
      </c>
      <c r="H41" s="4">
        <v>42551.413703703707</v>
      </c>
    </row>
    <row r="42" spans="1:8">
      <c r="A42" s="3">
        <v>4141883</v>
      </c>
      <c r="B42" s="1" t="s">
        <v>12</v>
      </c>
      <c r="C42" s="1" t="s">
        <v>17</v>
      </c>
      <c r="D42" s="1">
        <f t="shared" ca="1" si="0"/>
        <v>8</v>
      </c>
      <c r="E42" s="1" t="s">
        <v>107</v>
      </c>
      <c r="F42" s="1" t="s">
        <v>108</v>
      </c>
      <c r="G42" s="1" t="s">
        <v>16</v>
      </c>
      <c r="H42" s="4">
        <v>42578.617766203701</v>
      </c>
    </row>
    <row r="43" spans="1:8">
      <c r="A43" s="3">
        <v>4140502</v>
      </c>
      <c r="B43" s="1" t="s">
        <v>12</v>
      </c>
      <c r="C43" s="1" t="s">
        <v>17</v>
      </c>
      <c r="D43" s="1">
        <f t="shared" ca="1" si="0"/>
        <v>8</v>
      </c>
      <c r="E43" s="1" t="s">
        <v>109</v>
      </c>
      <c r="F43" s="1" t="s">
        <v>110</v>
      </c>
      <c r="G43" s="1" t="s">
        <v>111</v>
      </c>
      <c r="H43" s="4">
        <v>42578.649247685185</v>
      </c>
    </row>
    <row r="44" spans="1:8">
      <c r="A44" s="3">
        <v>4145558</v>
      </c>
      <c r="B44" s="1" t="s">
        <v>12</v>
      </c>
      <c r="C44" s="1" t="s">
        <v>62</v>
      </c>
      <c r="D44" s="1">
        <f t="shared" ca="1" si="0"/>
        <v>9</v>
      </c>
      <c r="E44" s="1" t="s">
        <v>112</v>
      </c>
      <c r="F44" s="1" t="s">
        <v>113</v>
      </c>
      <c r="G44" s="1" t="s">
        <v>20</v>
      </c>
      <c r="H44" s="4">
        <v>42578.629953703705</v>
      </c>
    </row>
    <row r="45" spans="1:8">
      <c r="A45" s="3">
        <v>4145530</v>
      </c>
      <c r="B45" s="1" t="s">
        <v>12</v>
      </c>
      <c r="C45" s="1" t="s">
        <v>17</v>
      </c>
      <c r="D45" s="1">
        <f t="shared" ca="1" si="0"/>
        <v>12</v>
      </c>
      <c r="E45" s="1" t="s">
        <v>114</v>
      </c>
      <c r="F45" s="1" t="s">
        <v>115</v>
      </c>
      <c r="G45" s="1" t="s">
        <v>116</v>
      </c>
      <c r="H45" s="4">
        <v>42578.632777777777</v>
      </c>
    </row>
    <row r="46" spans="1:8">
      <c r="A46" s="3">
        <v>4144897</v>
      </c>
      <c r="B46" s="1" t="s">
        <v>12</v>
      </c>
      <c r="C46" s="1" t="s">
        <v>17</v>
      </c>
      <c r="D46" s="1">
        <f t="shared" ca="1" si="0"/>
        <v>22</v>
      </c>
      <c r="E46" s="1" t="s">
        <v>117</v>
      </c>
      <c r="F46" s="1" t="s">
        <v>118</v>
      </c>
      <c r="G46" s="1" t="s">
        <v>20</v>
      </c>
      <c r="H46" s="4">
        <v>42592.50439814815</v>
      </c>
    </row>
    <row r="47" spans="1:8">
      <c r="A47" s="3">
        <v>4153692</v>
      </c>
      <c r="B47" s="1" t="s">
        <v>12</v>
      </c>
      <c r="C47" s="1" t="s">
        <v>17</v>
      </c>
      <c r="D47" s="1">
        <f t="shared" ca="1" si="0"/>
        <v>10</v>
      </c>
      <c r="E47" s="1" t="s">
        <v>119</v>
      </c>
      <c r="F47" s="1" t="s">
        <v>120</v>
      </c>
      <c r="G47" s="1" t="s">
        <v>20</v>
      </c>
      <c r="H47" s="4">
        <v>42578.621562499997</v>
      </c>
    </row>
    <row r="48" spans="1:8">
      <c r="A48" s="3">
        <v>4623081</v>
      </c>
      <c r="B48" s="1" t="s">
        <v>12</v>
      </c>
      <c r="C48" s="1" t="s">
        <v>17</v>
      </c>
      <c r="D48" s="1">
        <f t="shared" ca="1" si="0"/>
        <v>19</v>
      </c>
      <c r="E48" s="1" t="s">
        <v>121</v>
      </c>
      <c r="F48" s="1" t="s">
        <v>122</v>
      </c>
      <c r="G48" s="1" t="s">
        <v>20</v>
      </c>
      <c r="H48" s="4">
        <v>42676.708240740743</v>
      </c>
    </row>
    <row r="49" spans="1:8">
      <c r="A49" s="3">
        <v>4639434</v>
      </c>
      <c r="B49" s="1" t="s">
        <v>12</v>
      </c>
      <c r="C49" s="1" t="s">
        <v>17</v>
      </c>
      <c r="D49" s="1">
        <f t="shared" ca="1" si="0"/>
        <v>11</v>
      </c>
      <c r="E49" s="1" t="s">
        <v>123</v>
      </c>
      <c r="F49" s="1" t="s">
        <v>124</v>
      </c>
      <c r="G49" s="1" t="s">
        <v>59</v>
      </c>
      <c r="H49" s="4">
        <v>42676.708240740743</v>
      </c>
    </row>
    <row r="50" spans="1:8">
      <c r="A50" s="8">
        <v>4647242</v>
      </c>
      <c r="B50" s="9" t="s">
        <v>12</v>
      </c>
      <c r="C50" s="9" t="s">
        <v>17</v>
      </c>
      <c r="D50" s="1">
        <f t="shared" ca="1" si="0"/>
        <v>5</v>
      </c>
      <c r="E50" s="9" t="s">
        <v>125</v>
      </c>
      <c r="F50" s="9" t="s">
        <v>126</v>
      </c>
      <c r="G50" s="9" t="s">
        <v>20</v>
      </c>
      <c r="H50" s="10">
        <v>42676.708240740743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1F5EDDD-2981-4B65-B7EF-62D15E153F33}"/>
</file>

<file path=customXml/itemProps2.xml><?xml version="1.0" encoding="utf-8"?>
<ds:datastoreItem xmlns:ds="http://schemas.openxmlformats.org/officeDocument/2006/customXml" ds:itemID="{C91CA977-A602-44A9-8850-357798C720DC}"/>
</file>

<file path=customXml/itemProps3.xml><?xml version="1.0" encoding="utf-8"?>
<ds:datastoreItem xmlns:ds="http://schemas.openxmlformats.org/officeDocument/2006/customXml" ds:itemID="{94645AF1-E86D-4D93-A385-5C420D09DADE}"/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TM44906193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2024-03-15T19:00:48Z</dcterms:created>
  <dcterms:modified xsi:type="dcterms:W3CDTF">2025-04-14T14:27:41Z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